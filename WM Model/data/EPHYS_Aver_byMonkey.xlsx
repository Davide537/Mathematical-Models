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ibanez/Desktop/CRCNSproject/TARA_17_01_2022/Special_Issue/Archive_SARA_31_8_22/"/>
    </mc:Choice>
  </mc:AlternateContent>
  <xr:revisionPtr revIDLastSave="0" documentId="13_ncr:1_{18A51CD3-6884-5648-B48C-1EAC0FF09DA1}" xr6:coauthVersionLast="47" xr6:coauthVersionMax="47" xr10:uidLastSave="{00000000-0000-0000-0000-000000000000}"/>
  <bookViews>
    <workbookView xWindow="8480" yWindow="500" windowWidth="36800" windowHeight="17340" xr2:uid="{298F502D-A716-4440-A850-B8169C288D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" i="1" l="1"/>
  <c r="P18" i="1"/>
  <c r="Q18" i="1"/>
  <c r="R18" i="1"/>
  <c r="S18" i="1"/>
  <c r="T18" i="1"/>
  <c r="O18" i="1"/>
  <c r="P5" i="1"/>
  <c r="Q5" i="1"/>
  <c r="R5" i="1"/>
  <c r="S5" i="1"/>
  <c r="T5" i="1"/>
  <c r="U5" i="1"/>
  <c r="V5" i="1"/>
  <c r="O5" i="1"/>
  <c r="S2" i="1"/>
  <c r="T2" i="1"/>
  <c r="U2" i="1"/>
  <c r="V2" i="1"/>
  <c r="R2" i="1"/>
  <c r="Q2" i="1"/>
</calcChain>
</file>

<file path=xl/sharedStrings.xml><?xml version="1.0" encoding="utf-8"?>
<sst xmlns="http://schemas.openxmlformats.org/spreadsheetml/2006/main" count="85" uniqueCount="69">
  <si>
    <t>AM296</t>
  </si>
  <si>
    <t>Jackson</t>
  </si>
  <si>
    <t>Name</t>
  </si>
  <si>
    <t>AnimalID</t>
  </si>
  <si>
    <t>Vr</t>
  </si>
  <si>
    <t>low30</t>
  </si>
  <si>
    <t>low80</t>
  </si>
  <si>
    <t>low130</t>
  </si>
  <si>
    <t>low180</t>
  </si>
  <si>
    <t>low230</t>
  </si>
  <si>
    <t>low280</t>
  </si>
  <si>
    <t>low330</t>
  </si>
  <si>
    <t>low380</t>
  </si>
  <si>
    <t>Rn</t>
  </si>
  <si>
    <t>FR_30</t>
  </si>
  <si>
    <t>FR_80</t>
  </si>
  <si>
    <t>FR_130</t>
  </si>
  <si>
    <t>FR_180</t>
  </si>
  <si>
    <t>FR_230</t>
  </si>
  <si>
    <t>FR_280</t>
  </si>
  <si>
    <t>FR_330</t>
  </si>
  <si>
    <t>FR_380</t>
  </si>
  <si>
    <t>Boyboy</t>
  </si>
  <si>
    <t>Salt</t>
  </si>
  <si>
    <t>AM352</t>
  </si>
  <si>
    <t>AM367</t>
  </si>
  <si>
    <t>Ying</t>
  </si>
  <si>
    <t>AM255</t>
  </si>
  <si>
    <t>Shorty</t>
  </si>
  <si>
    <t>AM295</t>
  </si>
  <si>
    <t>Zebula</t>
  </si>
  <si>
    <t>AM278</t>
  </si>
  <si>
    <t>Usher</t>
  </si>
  <si>
    <t>AM288</t>
  </si>
  <si>
    <t>Kaque</t>
  </si>
  <si>
    <t>AM297</t>
  </si>
  <si>
    <t>Chooch</t>
  </si>
  <si>
    <t>AM279</t>
  </si>
  <si>
    <t>Indy</t>
  </si>
  <si>
    <t>AM314</t>
  </si>
  <si>
    <t>Irma</t>
  </si>
  <si>
    <t>AM286</t>
  </si>
  <si>
    <t>Austin</t>
  </si>
  <si>
    <t>AM281</t>
  </si>
  <si>
    <t>Hercules-09</t>
  </si>
  <si>
    <t>AM282</t>
  </si>
  <si>
    <t>Roland</t>
  </si>
  <si>
    <t>AM284</t>
  </si>
  <si>
    <t>Brene</t>
  </si>
  <si>
    <t>AM371</t>
  </si>
  <si>
    <t>Mafia</t>
  </si>
  <si>
    <t>AM283</t>
  </si>
  <si>
    <t>Squeaker</t>
  </si>
  <si>
    <t>AM298</t>
  </si>
  <si>
    <t>Age Group</t>
  </si>
  <si>
    <t>Y</t>
  </si>
  <si>
    <t>MA</t>
  </si>
  <si>
    <t>Aged</t>
  </si>
  <si>
    <t>Age at CSST</t>
  </si>
  <si>
    <t>Stripes</t>
  </si>
  <si>
    <t>AM254</t>
  </si>
  <si>
    <t>Doc</t>
  </si>
  <si>
    <t>AM274</t>
  </si>
  <si>
    <t>DRST_spatial</t>
  </si>
  <si>
    <t>rheobase</t>
  </si>
  <si>
    <t>tau (ms)</t>
  </si>
  <si>
    <t>age ephys</t>
  </si>
  <si>
    <t>9.5</t>
  </si>
  <si>
    <t>age at DRST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</si>
</sst>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Arial"/>
      <family val="2"/>
    </font>
    <font>
      <sz val="12"/>
      <name val="Open Sans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0" fillId="2" borderId="1" xfId="0" applyNumberFormat="1" applyFont="1" applyFill="1" applyBorder="1" applyAlignment="1">
      <alignment horizontal="center" vertical="center"/>
    </xf>
    <xf numFmtId="2" fontId="0" fillId="4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2" fontId="0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2" fontId="0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2" fontId="2" fillId="5" borderId="0" xfId="0" applyNumberFormat="1" applyFont="1" applyFill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E8A5CAA5-F336-C043-AC62-DF53E40A48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8650-BA75-2549-B6D0-BFEF31D85FDF}">
  <dimension ref="A1:AA21"/>
  <sheetViews>
    <sheetView tabSelected="1" topLeftCell="K1" zoomScale="125" workbookViewId="0">
      <selection activeCell="W13" sqref="W13"/>
    </sheetView>
  </sheetViews>
  <sheetFormatPr baseColWidth="10" defaultRowHeight="16" x14ac:dyDescent="0.2"/>
  <cols>
    <col min="1" max="2" width="10.83203125" style="5"/>
    <col min="3" max="3" width="15.33203125" style="9" bestFit="1" customWidth="1"/>
    <col min="4" max="4" width="13.5" style="9" bestFit="1" customWidth="1"/>
    <col min="5" max="5" width="15.83203125" style="5" customWidth="1"/>
    <col min="6" max="6" width="19.6640625" style="5" customWidth="1"/>
    <col min="7" max="7" width="10.83203125" style="5"/>
    <col min="8" max="8" width="18.1640625" style="5" customWidth="1"/>
    <col min="9" max="9" width="20.83203125" style="5" customWidth="1"/>
    <col min="10" max="13" width="10.83203125" style="5"/>
    <col min="14" max="14" width="16.5" style="5" customWidth="1"/>
    <col min="15" max="22" width="10.83203125" style="5"/>
    <col min="23" max="23" width="14.1640625" style="5" bestFit="1" customWidth="1"/>
    <col min="24" max="24" width="13.6640625" style="5" customWidth="1"/>
    <col min="25" max="25" width="12.6640625" style="5" customWidth="1"/>
    <col min="26" max="26" width="13.5" style="38" customWidth="1"/>
    <col min="27" max="27" width="12.33203125" style="5" customWidth="1"/>
    <col min="28" max="16384" width="10.83203125" style="5"/>
  </cols>
  <sheetData>
    <row r="1" spans="1:27" s="8" customFormat="1" ht="19" x14ac:dyDescent="0.25">
      <c r="A1" s="7" t="s">
        <v>2</v>
      </c>
      <c r="B1" s="7" t="s">
        <v>3</v>
      </c>
      <c r="C1" s="11" t="s">
        <v>58</v>
      </c>
      <c r="D1" s="12" t="s">
        <v>54</v>
      </c>
      <c r="E1" s="7" t="s">
        <v>13</v>
      </c>
      <c r="F1" s="7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26" t="s">
        <v>63</v>
      </c>
      <c r="X1" s="7" t="s">
        <v>65</v>
      </c>
      <c r="Y1" s="7" t="s">
        <v>64</v>
      </c>
      <c r="Z1" s="7" t="s">
        <v>68</v>
      </c>
      <c r="AA1" s="33" t="s">
        <v>66</v>
      </c>
    </row>
    <row r="2" spans="1:27" x14ac:dyDescent="0.2">
      <c r="A2" s="1" t="s">
        <v>22</v>
      </c>
      <c r="B2" s="1" t="s">
        <v>25</v>
      </c>
      <c r="C2" s="14">
        <v>8.1999999999999993</v>
      </c>
      <c r="D2" s="14" t="s">
        <v>55</v>
      </c>
      <c r="E2" s="10">
        <v>152.99</v>
      </c>
      <c r="F2" s="10">
        <v>-66.91</v>
      </c>
      <c r="G2" s="10">
        <v>0</v>
      </c>
      <c r="H2" s="10">
        <v>0</v>
      </c>
      <c r="I2" s="10">
        <v>2.048</v>
      </c>
      <c r="J2" s="10">
        <v>7.62</v>
      </c>
      <c r="K2" s="10">
        <v>10.81</v>
      </c>
      <c r="L2" s="10">
        <v>12.86</v>
      </c>
      <c r="M2" s="10">
        <v>13.67</v>
      </c>
      <c r="N2" s="10">
        <v>15.57</v>
      </c>
      <c r="O2" s="2">
        <f>G2/2</f>
        <v>0</v>
      </c>
      <c r="P2" s="2">
        <v>0</v>
      </c>
      <c r="Q2" s="2">
        <f>I2/2</f>
        <v>1.024</v>
      </c>
      <c r="R2" s="2">
        <f>J2/2</f>
        <v>3.81</v>
      </c>
      <c r="S2" s="2">
        <f t="shared" ref="S2:V2" si="0">K2/2</f>
        <v>5.4050000000000002</v>
      </c>
      <c r="T2" s="2">
        <f t="shared" si="0"/>
        <v>6.43</v>
      </c>
      <c r="U2" s="2">
        <f t="shared" si="0"/>
        <v>6.835</v>
      </c>
      <c r="V2" s="2">
        <f t="shared" si="0"/>
        <v>7.7850000000000001</v>
      </c>
      <c r="W2" s="27">
        <v>2.86</v>
      </c>
      <c r="X2" s="28">
        <v>31.1</v>
      </c>
      <c r="Y2" s="28">
        <v>86.01</v>
      </c>
      <c r="Z2" s="35">
        <v>7.6</v>
      </c>
    </row>
    <row r="3" spans="1:27" x14ac:dyDescent="0.2">
      <c r="A3" s="1" t="s">
        <v>1</v>
      </c>
      <c r="B3" s="1" t="s">
        <v>0</v>
      </c>
      <c r="C3" s="14">
        <v>8.4</v>
      </c>
      <c r="D3" s="14" t="s">
        <v>55</v>
      </c>
      <c r="E3" s="2">
        <v>147.88999999999999</v>
      </c>
      <c r="F3" s="2">
        <v>-63.51</v>
      </c>
      <c r="G3" s="2">
        <v>0.25</v>
      </c>
      <c r="H3" s="2">
        <v>9.4285714285714288</v>
      </c>
      <c r="I3" s="2">
        <v>20.428571428571427</v>
      </c>
      <c r="J3" s="2">
        <v>29</v>
      </c>
      <c r="K3" s="2">
        <v>31</v>
      </c>
      <c r="L3" s="2">
        <v>31.6</v>
      </c>
      <c r="M3" s="2">
        <v>32.5</v>
      </c>
      <c r="N3" s="2">
        <v>33.666666666666664</v>
      </c>
      <c r="O3" s="2">
        <v>0.125</v>
      </c>
      <c r="P3" s="2">
        <v>4.7142857142857144</v>
      </c>
      <c r="Q3" s="2">
        <v>10.214285714285714</v>
      </c>
      <c r="R3" s="2">
        <v>14.5</v>
      </c>
      <c r="S3" s="2">
        <v>15.5</v>
      </c>
      <c r="T3" s="2">
        <v>15.8</v>
      </c>
      <c r="U3" s="2">
        <v>16.25</v>
      </c>
      <c r="V3" s="2">
        <v>16.833333333333332</v>
      </c>
      <c r="W3" s="1">
        <v>2.2200000000000002</v>
      </c>
      <c r="X3" s="28">
        <v>29.52</v>
      </c>
      <c r="Y3" s="28">
        <v>117.69</v>
      </c>
      <c r="Z3" s="35">
        <v>7.9</v>
      </c>
      <c r="AA3" s="5">
        <v>8.8000000000000007</v>
      </c>
    </row>
    <row r="4" spans="1:27" x14ac:dyDescent="0.2">
      <c r="A4" s="1" t="s">
        <v>23</v>
      </c>
      <c r="B4" s="1" t="s">
        <v>24</v>
      </c>
      <c r="C4" s="14">
        <v>9.4</v>
      </c>
      <c r="D4" s="14" t="s">
        <v>55</v>
      </c>
      <c r="E4" s="2">
        <v>214.04</v>
      </c>
      <c r="F4" s="2">
        <v>-65.56</v>
      </c>
      <c r="G4" s="2">
        <v>5.53</v>
      </c>
      <c r="H4" s="2">
        <v>19.37</v>
      </c>
      <c r="I4" s="2">
        <v>27.66</v>
      </c>
      <c r="J4" s="2">
        <v>32</v>
      </c>
      <c r="K4" s="2">
        <v>37.29</v>
      </c>
      <c r="L4" s="2">
        <v>39.43</v>
      </c>
      <c r="M4" s="2">
        <v>38.659999999999997</v>
      </c>
      <c r="N4" s="2"/>
      <c r="O4" s="2">
        <v>2.76</v>
      </c>
      <c r="P4" s="2">
        <v>9.69</v>
      </c>
      <c r="Q4" s="2">
        <v>13.83</v>
      </c>
      <c r="R4" s="2">
        <v>16</v>
      </c>
      <c r="S4" s="2">
        <v>18.64</v>
      </c>
      <c r="T4" s="2">
        <v>19.71</v>
      </c>
      <c r="U4" s="2">
        <v>19.329999999999998</v>
      </c>
      <c r="V4" s="2"/>
      <c r="W4" s="1">
        <v>2.4</v>
      </c>
      <c r="X4" s="28">
        <v>26.7</v>
      </c>
      <c r="Y4" s="28">
        <v>95.22</v>
      </c>
      <c r="Z4" s="35">
        <v>9.1999999999999993</v>
      </c>
      <c r="AA4" s="5">
        <v>11.7</v>
      </c>
    </row>
    <row r="5" spans="1:27" x14ac:dyDescent="0.2">
      <c r="A5" s="15" t="s">
        <v>26</v>
      </c>
      <c r="B5" s="15" t="s">
        <v>27</v>
      </c>
      <c r="C5" s="14">
        <v>10</v>
      </c>
      <c r="D5" s="14" t="s">
        <v>55</v>
      </c>
      <c r="E5" s="2">
        <v>86.57</v>
      </c>
      <c r="F5" s="2">
        <v>-69.94</v>
      </c>
      <c r="G5" s="2">
        <v>1.1000000000000001</v>
      </c>
      <c r="H5" s="2">
        <v>3.1</v>
      </c>
      <c r="I5" s="2">
        <v>6.7</v>
      </c>
      <c r="J5" s="2">
        <v>14</v>
      </c>
      <c r="K5" s="2">
        <v>19.8</v>
      </c>
      <c r="L5" s="2">
        <v>25.1</v>
      </c>
      <c r="M5" s="2">
        <v>30.1</v>
      </c>
      <c r="N5" s="2">
        <v>33.700000000000003</v>
      </c>
      <c r="O5" s="2">
        <f>G5/2</f>
        <v>0.55000000000000004</v>
      </c>
      <c r="P5" s="2">
        <f t="shared" ref="P5:V5" si="1">H5/2</f>
        <v>1.55</v>
      </c>
      <c r="Q5" s="2">
        <f t="shared" si="1"/>
        <v>3.35</v>
      </c>
      <c r="R5" s="2">
        <f t="shared" si="1"/>
        <v>7</v>
      </c>
      <c r="S5" s="2">
        <f t="shared" si="1"/>
        <v>9.9</v>
      </c>
      <c r="T5" s="2">
        <f t="shared" si="1"/>
        <v>12.55</v>
      </c>
      <c r="U5" s="2">
        <f t="shared" si="1"/>
        <v>15.05</v>
      </c>
      <c r="V5" s="2">
        <f t="shared" si="1"/>
        <v>16.850000000000001</v>
      </c>
      <c r="W5" s="29">
        <v>3.42</v>
      </c>
      <c r="X5" s="28">
        <v>19.96</v>
      </c>
      <c r="Y5" s="28">
        <v>189.98</v>
      </c>
      <c r="Z5" s="35">
        <v>7.3</v>
      </c>
      <c r="AA5" s="34" t="s">
        <v>67</v>
      </c>
    </row>
    <row r="6" spans="1:27" x14ac:dyDescent="0.2">
      <c r="A6" s="1" t="s">
        <v>28</v>
      </c>
      <c r="B6" s="1" t="s">
        <v>29</v>
      </c>
      <c r="C6" s="14">
        <v>10.4</v>
      </c>
      <c r="D6" s="14" t="s">
        <v>55</v>
      </c>
      <c r="E6" s="2">
        <v>188.35141300000004</v>
      </c>
      <c r="F6" s="2">
        <v>-64.341272799999999</v>
      </c>
      <c r="G6" s="2">
        <v>0.5</v>
      </c>
      <c r="H6" s="2">
        <v>11.2</v>
      </c>
      <c r="I6" s="2">
        <v>24.6</v>
      </c>
      <c r="J6" s="2">
        <v>32.200000000000003</v>
      </c>
      <c r="K6" s="2">
        <v>32.75</v>
      </c>
      <c r="L6" s="2">
        <v>31</v>
      </c>
      <c r="M6" s="2">
        <v>27.5</v>
      </c>
      <c r="N6" s="2">
        <v>25</v>
      </c>
      <c r="O6" s="2">
        <v>0.25</v>
      </c>
      <c r="P6" s="2">
        <v>5.6</v>
      </c>
      <c r="Q6" s="2">
        <v>12.3</v>
      </c>
      <c r="R6" s="2">
        <v>16.100000000000001</v>
      </c>
      <c r="S6" s="2">
        <v>16.375</v>
      </c>
      <c r="T6" s="2">
        <v>15.5</v>
      </c>
      <c r="U6" s="2">
        <v>13.75</v>
      </c>
      <c r="V6" s="2">
        <v>12.5</v>
      </c>
      <c r="W6" s="1">
        <v>2.27</v>
      </c>
      <c r="X6" s="28">
        <v>39.07</v>
      </c>
      <c r="Y6" s="28">
        <v>64.930000000000007</v>
      </c>
      <c r="Z6" s="35">
        <v>9.9</v>
      </c>
      <c r="AA6" s="5">
        <v>10.9</v>
      </c>
    </row>
    <row r="7" spans="1:27" x14ac:dyDescent="0.2">
      <c r="A7" s="20" t="s">
        <v>59</v>
      </c>
      <c r="B7" s="20" t="s">
        <v>60</v>
      </c>
      <c r="C7" s="21">
        <v>10.7</v>
      </c>
      <c r="D7" s="23" t="s">
        <v>55</v>
      </c>
      <c r="E7" s="24">
        <v>113.97</v>
      </c>
      <c r="F7" s="25">
        <v>-69.64</v>
      </c>
      <c r="G7" s="25">
        <v>5.83</v>
      </c>
      <c r="H7" s="25">
        <v>12.17</v>
      </c>
      <c r="I7" s="25">
        <v>23</v>
      </c>
      <c r="J7" s="25">
        <v>27.5</v>
      </c>
      <c r="K7" s="25">
        <v>31.17</v>
      </c>
      <c r="L7" s="25">
        <v>33.17</v>
      </c>
      <c r="M7" s="25">
        <v>34.83</v>
      </c>
      <c r="N7" s="25">
        <v>36.83</v>
      </c>
      <c r="O7" s="25">
        <v>2.92</v>
      </c>
      <c r="P7" s="25">
        <v>6.08</v>
      </c>
      <c r="Q7" s="25">
        <v>11.5</v>
      </c>
      <c r="R7" s="25">
        <v>13.75</v>
      </c>
      <c r="S7" s="25">
        <v>15.58</v>
      </c>
      <c r="T7" s="25">
        <v>16.579999999999998</v>
      </c>
      <c r="U7" s="25">
        <v>17.420000000000002</v>
      </c>
      <c r="V7" s="25">
        <v>18.420000000000002</v>
      </c>
      <c r="W7" s="25">
        <v>2.4</v>
      </c>
      <c r="X7" s="28">
        <v>15.16</v>
      </c>
      <c r="Y7" s="28">
        <v>114.09</v>
      </c>
      <c r="Z7" s="35">
        <v>9.1</v>
      </c>
      <c r="AA7" s="5">
        <v>11</v>
      </c>
    </row>
    <row r="8" spans="1:27" x14ac:dyDescent="0.2">
      <c r="A8" s="16" t="s">
        <v>30</v>
      </c>
      <c r="B8" s="16" t="s">
        <v>31</v>
      </c>
      <c r="C8" s="16">
        <v>14.8</v>
      </c>
      <c r="D8" s="16" t="s">
        <v>56</v>
      </c>
      <c r="E8" s="3">
        <v>118.95257475</v>
      </c>
      <c r="F8" s="3">
        <v>-64.950452000000013</v>
      </c>
      <c r="G8" s="3">
        <v>1</v>
      </c>
      <c r="H8" s="3">
        <v>9</v>
      </c>
      <c r="I8" s="3">
        <v>14</v>
      </c>
      <c r="J8" s="3">
        <v>20.25</v>
      </c>
      <c r="K8" s="3">
        <v>25</v>
      </c>
      <c r="L8" s="3">
        <v>19.5</v>
      </c>
      <c r="M8" s="3">
        <v>28</v>
      </c>
      <c r="N8" s="3">
        <v>33</v>
      </c>
      <c r="O8" s="3">
        <v>0.5</v>
      </c>
      <c r="P8" s="3">
        <v>4.5</v>
      </c>
      <c r="Q8" s="3">
        <v>7</v>
      </c>
      <c r="R8" s="3">
        <v>10.125</v>
      </c>
      <c r="S8" s="3">
        <v>12.5</v>
      </c>
      <c r="T8" s="3">
        <v>9.75</v>
      </c>
      <c r="U8" s="3">
        <v>14</v>
      </c>
      <c r="V8" s="3">
        <v>16.5</v>
      </c>
      <c r="W8" s="30">
        <v>2.31</v>
      </c>
      <c r="X8" s="16">
        <v>22.66</v>
      </c>
      <c r="Y8" s="16">
        <v>111.81</v>
      </c>
      <c r="Z8" s="36">
        <v>13.7</v>
      </c>
      <c r="AA8" s="5">
        <v>15.3</v>
      </c>
    </row>
    <row r="9" spans="1:27" x14ac:dyDescent="0.2">
      <c r="A9" s="16" t="s">
        <v>32</v>
      </c>
      <c r="B9" s="16" t="s">
        <v>33</v>
      </c>
      <c r="C9" s="16">
        <v>15.6</v>
      </c>
      <c r="D9" s="16" t="s">
        <v>56</v>
      </c>
      <c r="E9" s="3">
        <v>144.71267109090908</v>
      </c>
      <c r="F9" s="3">
        <v>-61.617294818181811</v>
      </c>
      <c r="G9" s="3">
        <v>1.5714285714285714</v>
      </c>
      <c r="H9" s="3">
        <v>7.9090909090909092</v>
      </c>
      <c r="I9" s="3">
        <v>22.636363636363637</v>
      </c>
      <c r="J9" s="3">
        <v>32.18181818181818</v>
      </c>
      <c r="K9" s="3">
        <v>37.545454545454547</v>
      </c>
      <c r="L9" s="3">
        <v>40.5</v>
      </c>
      <c r="M9" s="3">
        <v>43.222222222222221</v>
      </c>
      <c r="N9" s="3">
        <v>45.125</v>
      </c>
      <c r="O9" s="3">
        <v>0.7857142857142857</v>
      </c>
      <c r="P9" s="3">
        <v>3.9545454545454546</v>
      </c>
      <c r="Q9" s="3">
        <v>11.318181818181818</v>
      </c>
      <c r="R9" s="3">
        <v>16.09090909090909</v>
      </c>
      <c r="S9" s="3">
        <v>18.772727272727273</v>
      </c>
      <c r="T9" s="3">
        <v>20.25</v>
      </c>
      <c r="U9" s="3">
        <v>21.611111111111111</v>
      </c>
      <c r="V9" s="3">
        <v>22.5625</v>
      </c>
      <c r="W9" s="30">
        <v>2.2200000000000002</v>
      </c>
      <c r="X9" s="16">
        <v>26</v>
      </c>
      <c r="Y9" s="16">
        <v>79.430000000000007</v>
      </c>
      <c r="Z9" s="36">
        <v>15.1</v>
      </c>
      <c r="AA9" s="5">
        <v>16</v>
      </c>
    </row>
    <row r="10" spans="1:27" x14ac:dyDescent="0.2">
      <c r="A10" s="16" t="s">
        <v>34</v>
      </c>
      <c r="B10" s="16" t="s">
        <v>35</v>
      </c>
      <c r="C10" s="16">
        <v>17.399999999999999</v>
      </c>
      <c r="D10" s="16" t="s">
        <v>56</v>
      </c>
      <c r="E10" s="3">
        <v>120.71827625</v>
      </c>
      <c r="F10" s="3">
        <v>-63.3279055</v>
      </c>
      <c r="G10" s="3">
        <v>2</v>
      </c>
      <c r="H10" s="3">
        <v>11.5</v>
      </c>
      <c r="I10" s="3">
        <v>21.666666666666668</v>
      </c>
      <c r="J10" s="3">
        <v>27</v>
      </c>
      <c r="K10" s="3">
        <v>34.5</v>
      </c>
      <c r="L10" s="3">
        <v>36.5</v>
      </c>
      <c r="M10" s="3">
        <v>32.5</v>
      </c>
      <c r="N10" s="3">
        <v>32</v>
      </c>
      <c r="O10" s="3">
        <v>1</v>
      </c>
      <c r="P10" s="3">
        <v>5.75</v>
      </c>
      <c r="Q10" s="3">
        <v>10.833333333333334</v>
      </c>
      <c r="R10" s="3">
        <v>13.5</v>
      </c>
      <c r="S10" s="3">
        <v>17.25</v>
      </c>
      <c r="T10" s="3">
        <v>18.25</v>
      </c>
      <c r="U10" s="3">
        <v>16.25</v>
      </c>
      <c r="V10" s="3">
        <v>16</v>
      </c>
      <c r="W10" s="30">
        <v>2.2599999999999998</v>
      </c>
      <c r="X10" s="16">
        <v>21.21</v>
      </c>
      <c r="Y10" s="16">
        <v>161.85</v>
      </c>
      <c r="Z10" s="36">
        <v>17</v>
      </c>
      <c r="AA10" s="5">
        <v>18.100000000000001</v>
      </c>
    </row>
    <row r="11" spans="1:27" x14ac:dyDescent="0.2">
      <c r="A11" s="19" t="s">
        <v>61</v>
      </c>
      <c r="B11" s="19" t="s">
        <v>62</v>
      </c>
      <c r="C11" s="19">
        <v>17.7</v>
      </c>
      <c r="D11" s="19" t="s">
        <v>56</v>
      </c>
      <c r="E11" s="22">
        <v>187.94</v>
      </c>
      <c r="F11" s="22">
        <v>-64.099999999999994</v>
      </c>
      <c r="G11" s="22">
        <v>1.89</v>
      </c>
      <c r="H11" s="22">
        <v>14.22</v>
      </c>
      <c r="I11" s="22">
        <v>25.78</v>
      </c>
      <c r="J11" s="22">
        <v>32.67</v>
      </c>
      <c r="K11" s="22">
        <v>35.56</v>
      </c>
      <c r="L11" s="22">
        <v>36.33</v>
      </c>
      <c r="M11" s="22">
        <v>35.86</v>
      </c>
      <c r="N11" s="22">
        <v>34.71</v>
      </c>
      <c r="O11" s="22">
        <v>0.94</v>
      </c>
      <c r="P11" s="22">
        <v>7.11</v>
      </c>
      <c r="Q11" s="22">
        <v>12.89</v>
      </c>
      <c r="R11" s="22">
        <v>16.329999999999998</v>
      </c>
      <c r="S11" s="22">
        <v>17.78</v>
      </c>
      <c r="T11" s="22">
        <v>18.170000000000002</v>
      </c>
      <c r="U11" s="22">
        <v>17.93</v>
      </c>
      <c r="V11" s="22">
        <v>17.36</v>
      </c>
      <c r="W11" s="25">
        <v>2.31</v>
      </c>
      <c r="X11" s="16">
        <v>36.200000000000003</v>
      </c>
      <c r="Y11" s="16">
        <v>81.209999999999994</v>
      </c>
      <c r="Z11" s="36">
        <v>16.600000000000001</v>
      </c>
      <c r="AA11" s="5">
        <v>18.3</v>
      </c>
    </row>
    <row r="12" spans="1:27" x14ac:dyDescent="0.2">
      <c r="A12" s="16" t="s">
        <v>36</v>
      </c>
      <c r="B12" s="16" t="s">
        <v>37</v>
      </c>
      <c r="C12" s="16">
        <v>19</v>
      </c>
      <c r="D12" s="16" t="s">
        <v>56</v>
      </c>
      <c r="E12" s="3">
        <v>173.76799128571429</v>
      </c>
      <c r="F12" s="3">
        <v>-65.183616999999998</v>
      </c>
      <c r="G12" s="3">
        <v>0.5714285714285714</v>
      </c>
      <c r="H12" s="3">
        <v>11.571428571428571</v>
      </c>
      <c r="I12" s="3">
        <v>23.857142857142858</v>
      </c>
      <c r="J12" s="3">
        <v>31.142857142857142</v>
      </c>
      <c r="K12" s="3">
        <v>37</v>
      </c>
      <c r="L12" s="3">
        <v>39.6</v>
      </c>
      <c r="M12" s="3">
        <v>44.25</v>
      </c>
      <c r="N12" s="3">
        <v>44.75</v>
      </c>
      <c r="O12" s="3">
        <v>0.2857142857142857</v>
      </c>
      <c r="P12" s="3">
        <v>5.7857142857142856</v>
      </c>
      <c r="Q12" s="3">
        <v>11.928571428571429</v>
      </c>
      <c r="R12" s="3">
        <v>15.571428571428571</v>
      </c>
      <c r="S12" s="3">
        <v>18.5</v>
      </c>
      <c r="T12" s="3">
        <v>19.8</v>
      </c>
      <c r="U12" s="3">
        <v>22.125</v>
      </c>
      <c r="V12" s="3">
        <v>22.375</v>
      </c>
      <c r="W12" s="30">
        <v>2.4300000000000002</v>
      </c>
      <c r="X12" s="16">
        <v>37.57</v>
      </c>
      <c r="Y12" s="16">
        <v>87.51</v>
      </c>
      <c r="Z12" s="36">
        <v>18.5</v>
      </c>
      <c r="AA12" s="5">
        <v>19.5</v>
      </c>
    </row>
    <row r="13" spans="1:27" x14ac:dyDescent="0.2">
      <c r="A13" s="16" t="s">
        <v>38</v>
      </c>
      <c r="B13" s="16" t="s">
        <v>39</v>
      </c>
      <c r="C13" s="16">
        <v>20.2</v>
      </c>
      <c r="D13" s="16" t="s">
        <v>56</v>
      </c>
      <c r="E13" s="3">
        <v>193.82522980000002</v>
      </c>
      <c r="F13" s="3">
        <v>-64.372610999999992</v>
      </c>
      <c r="G13" s="3">
        <v>4.25</v>
      </c>
      <c r="H13" s="3">
        <v>12.4</v>
      </c>
      <c r="I13" s="3">
        <v>21.8</v>
      </c>
      <c r="J13" s="3">
        <v>27</v>
      </c>
      <c r="K13" s="3">
        <v>33.333333333333336</v>
      </c>
      <c r="L13" s="3">
        <v>35</v>
      </c>
      <c r="M13" s="3"/>
      <c r="N13" s="3"/>
      <c r="O13" s="3">
        <v>2.125</v>
      </c>
      <c r="P13" s="3">
        <v>6.2</v>
      </c>
      <c r="Q13" s="3">
        <v>10.9</v>
      </c>
      <c r="R13" s="3">
        <v>13.5</v>
      </c>
      <c r="S13" s="3">
        <v>16.6666666666667</v>
      </c>
      <c r="T13" s="3">
        <v>17.5</v>
      </c>
      <c r="U13" s="3"/>
      <c r="V13" s="3"/>
      <c r="W13" s="30"/>
      <c r="X13" s="16">
        <v>33.39</v>
      </c>
      <c r="Y13" s="16">
        <v>75.75</v>
      </c>
      <c r="Z13" s="36"/>
      <c r="AA13" s="5">
        <v>20.8</v>
      </c>
    </row>
    <row r="14" spans="1:27" x14ac:dyDescent="0.2">
      <c r="A14" s="17" t="s">
        <v>40</v>
      </c>
      <c r="B14" s="17" t="s">
        <v>41</v>
      </c>
      <c r="C14" s="18">
        <v>21.5</v>
      </c>
      <c r="D14" s="18" t="s">
        <v>57</v>
      </c>
      <c r="E14" s="4">
        <v>189.83892571428572</v>
      </c>
      <c r="F14" s="4">
        <v>-64.422329000000005</v>
      </c>
      <c r="G14" s="4">
        <v>0</v>
      </c>
      <c r="H14" s="4">
        <v>12.857142857142858</v>
      </c>
      <c r="I14" s="4">
        <v>26.142857142857142</v>
      </c>
      <c r="J14" s="4">
        <v>33.714285714285715</v>
      </c>
      <c r="K14" s="4">
        <v>37</v>
      </c>
      <c r="L14" s="4">
        <v>38.428571428571431</v>
      </c>
      <c r="M14" s="4">
        <v>41.25</v>
      </c>
      <c r="N14" s="4">
        <v>45</v>
      </c>
      <c r="O14" s="4">
        <v>0</v>
      </c>
      <c r="P14" s="4">
        <v>6.4285714285714288</v>
      </c>
      <c r="Q14" s="4">
        <v>13.071428571428571</v>
      </c>
      <c r="R14" s="4">
        <v>16.857142857142858</v>
      </c>
      <c r="S14" s="4">
        <v>18.5</v>
      </c>
      <c r="T14" s="4">
        <v>19.214285714285715</v>
      </c>
      <c r="U14" s="4">
        <v>20.625</v>
      </c>
      <c r="V14" s="4">
        <v>22.5</v>
      </c>
      <c r="W14" s="31">
        <v>2.1</v>
      </c>
      <c r="X14" s="17">
        <v>35.56</v>
      </c>
      <c r="Y14" s="17">
        <v>63.4</v>
      </c>
      <c r="Z14" s="37">
        <v>20.7</v>
      </c>
      <c r="AA14" s="5">
        <v>22.4</v>
      </c>
    </row>
    <row r="15" spans="1:27" x14ac:dyDescent="0.2">
      <c r="A15" s="17" t="s">
        <v>42</v>
      </c>
      <c r="B15" s="17" t="s">
        <v>43</v>
      </c>
      <c r="C15" s="18">
        <v>22.5</v>
      </c>
      <c r="D15" s="18" t="s">
        <v>57</v>
      </c>
      <c r="E15" s="4">
        <v>188.72963733333333</v>
      </c>
      <c r="F15" s="4">
        <v>-66.474783166666668</v>
      </c>
      <c r="G15" s="4">
        <v>1</v>
      </c>
      <c r="H15" s="4">
        <v>18.166666666666668</v>
      </c>
      <c r="I15" s="4">
        <v>34.833333333333336</v>
      </c>
      <c r="J15" s="4">
        <v>39.6</v>
      </c>
      <c r="K15" s="4">
        <v>44.75</v>
      </c>
      <c r="L15" s="4">
        <v>50</v>
      </c>
      <c r="M15" s="4">
        <v>51.25</v>
      </c>
      <c r="N15" s="4">
        <v>48.75</v>
      </c>
      <c r="O15" s="4">
        <v>0.5</v>
      </c>
      <c r="P15" s="4">
        <v>9.0833333333333339</v>
      </c>
      <c r="Q15" s="4">
        <v>17.416666666666668</v>
      </c>
      <c r="R15" s="4">
        <v>19.8</v>
      </c>
      <c r="S15" s="4">
        <v>22.375</v>
      </c>
      <c r="T15" s="4">
        <v>25</v>
      </c>
      <c r="U15" s="4">
        <v>25.625</v>
      </c>
      <c r="V15" s="4">
        <v>24.375</v>
      </c>
      <c r="W15" s="31">
        <v>2.23</v>
      </c>
      <c r="X15" s="17">
        <v>26.57</v>
      </c>
      <c r="Y15" s="17">
        <v>65.55</v>
      </c>
      <c r="Z15" s="37">
        <v>22.2</v>
      </c>
      <c r="AA15" s="5">
        <v>23.2</v>
      </c>
    </row>
    <row r="16" spans="1:27" x14ac:dyDescent="0.2">
      <c r="A16" s="17" t="s">
        <v>44</v>
      </c>
      <c r="B16" s="17" t="s">
        <v>45</v>
      </c>
      <c r="C16" s="18">
        <v>22.6</v>
      </c>
      <c r="D16" s="18" t="s">
        <v>57</v>
      </c>
      <c r="E16" s="4">
        <v>216.33297993333332</v>
      </c>
      <c r="F16" s="4">
        <v>-66.885664333333324</v>
      </c>
      <c r="G16" s="4">
        <v>2.6428571428571428</v>
      </c>
      <c r="H16" s="4">
        <v>17.066666666666666</v>
      </c>
      <c r="I16" s="4">
        <v>31.666666666666668</v>
      </c>
      <c r="J16" s="4">
        <v>40.93333333333333</v>
      </c>
      <c r="K16" s="4">
        <v>45.5</v>
      </c>
      <c r="L16" s="4">
        <v>45.8</v>
      </c>
      <c r="M16" s="4">
        <v>46.444444444444443</v>
      </c>
      <c r="N16" s="4">
        <v>48.625</v>
      </c>
      <c r="O16" s="4">
        <v>1.3214285714285714</v>
      </c>
      <c r="P16" s="4">
        <v>8.5333333333333332</v>
      </c>
      <c r="Q16" s="4">
        <v>15.833333333333334</v>
      </c>
      <c r="R16" s="4">
        <v>20.466666666666665</v>
      </c>
      <c r="S16" s="4">
        <v>22.75</v>
      </c>
      <c r="T16" s="4">
        <v>22.9</v>
      </c>
      <c r="U16" s="4">
        <v>23.222222222222221</v>
      </c>
      <c r="V16" s="4">
        <v>24.3125</v>
      </c>
      <c r="W16" s="31">
        <v>2.2000000000000002</v>
      </c>
      <c r="X16" s="17">
        <v>33.909999999999997</v>
      </c>
      <c r="Y16" s="17">
        <v>60</v>
      </c>
      <c r="Z16" s="37">
        <v>22.4</v>
      </c>
      <c r="AA16" s="5">
        <v>23.1</v>
      </c>
    </row>
    <row r="17" spans="1:27" x14ac:dyDescent="0.2">
      <c r="A17" s="17" t="s">
        <v>46</v>
      </c>
      <c r="B17" s="17" t="s">
        <v>47</v>
      </c>
      <c r="C17" s="18">
        <v>25.1</v>
      </c>
      <c r="D17" s="18" t="s">
        <v>57</v>
      </c>
      <c r="E17" s="4">
        <v>169.71952775</v>
      </c>
      <c r="F17" s="4">
        <v>-59.389969499999999</v>
      </c>
      <c r="G17" s="4">
        <v>3.75</v>
      </c>
      <c r="H17" s="4">
        <v>13.5</v>
      </c>
      <c r="I17" s="4">
        <v>24.75</v>
      </c>
      <c r="J17" s="4">
        <v>28.666666666666668</v>
      </c>
      <c r="K17" s="4">
        <v>31.666666666666668</v>
      </c>
      <c r="L17" s="4">
        <v>31.333333333333332</v>
      </c>
      <c r="M17" s="4">
        <v>30.666666666666668</v>
      </c>
      <c r="N17" s="4">
        <v>32</v>
      </c>
      <c r="O17" s="4">
        <v>1.875</v>
      </c>
      <c r="P17" s="4">
        <v>6.75</v>
      </c>
      <c r="Q17" s="4">
        <v>12.375</v>
      </c>
      <c r="R17" s="4">
        <v>14.333333333333334</v>
      </c>
      <c r="S17" s="4">
        <v>15.833333333333334</v>
      </c>
      <c r="T17" s="4">
        <v>15.666666666666666</v>
      </c>
      <c r="U17" s="4">
        <v>15.333333333333334</v>
      </c>
      <c r="V17" s="4">
        <v>16</v>
      </c>
      <c r="W17" s="31">
        <v>2.2799999999999998</v>
      </c>
      <c r="X17" s="17">
        <v>27.32</v>
      </c>
      <c r="Y17" s="17">
        <v>76.11</v>
      </c>
      <c r="Z17" s="37">
        <v>24.3</v>
      </c>
      <c r="AA17" s="5">
        <v>25.5</v>
      </c>
    </row>
    <row r="18" spans="1:27" x14ac:dyDescent="0.2">
      <c r="A18" s="17" t="s">
        <v>48</v>
      </c>
      <c r="B18" s="17" t="s">
        <v>49</v>
      </c>
      <c r="C18" s="18">
        <v>25.8</v>
      </c>
      <c r="D18" s="18" t="s">
        <v>57</v>
      </c>
      <c r="E18" s="4">
        <v>205.06</v>
      </c>
      <c r="F18" s="4">
        <v>-66.319999999999993</v>
      </c>
      <c r="G18" s="4">
        <v>1.25</v>
      </c>
      <c r="H18" s="4">
        <v>11.5</v>
      </c>
      <c r="I18" s="4">
        <v>23</v>
      </c>
      <c r="J18" s="4">
        <v>26.4</v>
      </c>
      <c r="K18" s="4">
        <v>27.75</v>
      </c>
      <c r="L18" s="4">
        <v>29.75</v>
      </c>
      <c r="M18" s="4"/>
      <c r="N18" s="4"/>
      <c r="O18" s="4">
        <f>G18/2</f>
        <v>0.625</v>
      </c>
      <c r="P18" s="4">
        <f t="shared" ref="P18:T18" si="2">H18/2</f>
        <v>5.75</v>
      </c>
      <c r="Q18" s="4">
        <f t="shared" si="2"/>
        <v>11.5</v>
      </c>
      <c r="R18" s="4">
        <f t="shared" si="2"/>
        <v>13.2</v>
      </c>
      <c r="S18" s="4">
        <f t="shared" si="2"/>
        <v>13.875</v>
      </c>
      <c r="T18" s="4">
        <f t="shared" si="2"/>
        <v>14.875</v>
      </c>
      <c r="U18" s="4"/>
      <c r="V18" s="4"/>
      <c r="W18" s="32">
        <v>2.2799999999999998</v>
      </c>
      <c r="X18" s="17">
        <v>28.36</v>
      </c>
      <c r="Y18" s="17">
        <v>42.59</v>
      </c>
      <c r="Z18" s="37">
        <v>25.5</v>
      </c>
      <c r="AA18" s="5">
        <v>26.6</v>
      </c>
    </row>
    <row r="19" spans="1:27" x14ac:dyDescent="0.2">
      <c r="A19" s="17" t="s">
        <v>50</v>
      </c>
      <c r="B19" s="17" t="s">
        <v>51</v>
      </c>
      <c r="C19" s="18">
        <v>26.1</v>
      </c>
      <c r="D19" s="18" t="s">
        <v>57</v>
      </c>
      <c r="E19" s="4">
        <v>173.22518785714286</v>
      </c>
      <c r="F19" s="4">
        <v>-64.552167428571437</v>
      </c>
      <c r="G19" s="4">
        <v>0</v>
      </c>
      <c r="H19" s="4">
        <v>10.714285714285714</v>
      </c>
      <c r="I19" s="4">
        <v>26.428571428571427</v>
      </c>
      <c r="J19" s="4">
        <v>34.428571428571431</v>
      </c>
      <c r="K19" s="4">
        <v>36</v>
      </c>
      <c r="L19" s="4">
        <v>35.428571428571431</v>
      </c>
      <c r="M19" s="4">
        <v>34.666666666666664</v>
      </c>
      <c r="N19" s="4">
        <v>33</v>
      </c>
      <c r="O19" s="4">
        <v>0</v>
      </c>
      <c r="P19" s="4">
        <v>5.3571428571428568</v>
      </c>
      <c r="Q19" s="4">
        <v>13.214285714285714</v>
      </c>
      <c r="R19" s="4">
        <v>17.214285714285715</v>
      </c>
      <c r="S19" s="4">
        <v>18</v>
      </c>
      <c r="T19" s="4">
        <v>17.714285714285715</v>
      </c>
      <c r="U19" s="4">
        <v>17.333333333333332</v>
      </c>
      <c r="V19" s="4">
        <v>16.5</v>
      </c>
      <c r="W19" s="31">
        <v>2.04</v>
      </c>
      <c r="X19" s="17">
        <v>22.38</v>
      </c>
      <c r="Y19" s="17">
        <v>95.23</v>
      </c>
      <c r="Z19" s="37">
        <v>25.3</v>
      </c>
      <c r="AA19" s="5">
        <v>26.4</v>
      </c>
    </row>
    <row r="20" spans="1:27" x14ac:dyDescent="0.2">
      <c r="A20" s="17" t="s">
        <v>52</v>
      </c>
      <c r="B20" s="17" t="s">
        <v>53</v>
      </c>
      <c r="C20" s="18">
        <v>26.5</v>
      </c>
      <c r="D20" s="18" t="s">
        <v>57</v>
      </c>
      <c r="E20" s="4">
        <v>171.98750655555557</v>
      </c>
      <c r="F20" s="4">
        <v>-64.814352</v>
      </c>
      <c r="G20" s="4">
        <v>0</v>
      </c>
      <c r="H20" s="4">
        <v>6.8888888888888893</v>
      </c>
      <c r="I20" s="4">
        <v>22</v>
      </c>
      <c r="J20" s="4">
        <v>29.555555555555557</v>
      </c>
      <c r="K20" s="4">
        <v>33.25</v>
      </c>
      <c r="L20" s="4">
        <v>35.142857142857146</v>
      </c>
      <c r="M20" s="4">
        <v>32</v>
      </c>
      <c r="N20" s="4">
        <v>30.5</v>
      </c>
      <c r="O20" s="4">
        <v>0</v>
      </c>
      <c r="P20" s="4">
        <v>3.4444444444444446</v>
      </c>
      <c r="Q20" s="4">
        <v>11</v>
      </c>
      <c r="R20" s="4">
        <v>14.777777777777779</v>
      </c>
      <c r="S20" s="4">
        <v>16.625</v>
      </c>
      <c r="T20" s="4">
        <v>17.571428571428573</v>
      </c>
      <c r="U20" s="4">
        <v>16</v>
      </c>
      <c r="V20" s="4">
        <v>15.25</v>
      </c>
      <c r="W20" s="31">
        <v>2.38</v>
      </c>
      <c r="X20" s="17">
        <v>23.63</v>
      </c>
      <c r="Y20" s="17">
        <v>92.9</v>
      </c>
      <c r="Z20" s="37">
        <v>25.9</v>
      </c>
      <c r="AA20" s="5">
        <v>26.8</v>
      </c>
    </row>
    <row r="21" spans="1:27" x14ac:dyDescent="0.2"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2022-08-24T07:44:56Z</dcterms:created>
  <dcterms:modified xsi:type="dcterms:W3CDTF">2022-09-09T15:19:22Z</dcterms:modified>
</cp:coreProperties>
</file>